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Ai.mL\"/>
    </mc:Choice>
  </mc:AlternateContent>
  <bookViews>
    <workbookView xWindow="0" yWindow="0" windowWidth="28800" windowHeight="12300"/>
  </bookViews>
  <sheets>
    <sheet name="Covariance" sheetId="1" r:id="rId1"/>
    <sheet name="Pearson Correlation" sheetId="2" r:id="rId2"/>
    <sheet name="Spearman's Rank Correlation" sheetId="3" r:id="rId3"/>
  </sheets>
  <calcPr calcId="162913"/>
</workbook>
</file>

<file path=xl/calcChain.xml><?xml version="1.0" encoding="utf-8"?>
<calcChain xmlns="http://schemas.openxmlformats.org/spreadsheetml/2006/main">
  <c r="G2" i="3" l="1"/>
  <c r="I10" i="3"/>
  <c r="F2" i="3"/>
  <c r="H5" i="3" s="1"/>
  <c r="L5" i="3" s="1"/>
  <c r="E2" i="3"/>
  <c r="G6" i="3" s="1"/>
  <c r="I12" i="2"/>
  <c r="I11" i="2"/>
  <c r="I10" i="2"/>
  <c r="J9" i="2"/>
  <c r="J8" i="2"/>
  <c r="J3" i="2"/>
  <c r="J4" i="2"/>
  <c r="J5" i="2"/>
  <c r="J6" i="2"/>
  <c r="J2" i="2"/>
  <c r="I9" i="2"/>
  <c r="I8" i="2"/>
  <c r="I3" i="2"/>
  <c r="I4" i="2"/>
  <c r="I5" i="2"/>
  <c r="I6" i="2"/>
  <c r="I2" i="2"/>
  <c r="G10" i="2"/>
  <c r="F6" i="2"/>
  <c r="E6" i="2"/>
  <c r="G6" i="2" s="1"/>
  <c r="E5" i="2"/>
  <c r="F3" i="2"/>
  <c r="F2" i="2"/>
  <c r="E2" i="2"/>
  <c r="G2" i="2" s="1"/>
  <c r="D2" i="2"/>
  <c r="F4" i="2" s="1"/>
  <c r="C2" i="2"/>
  <c r="E3" i="2" s="1"/>
  <c r="G3" i="2" s="1"/>
  <c r="G10" i="1"/>
  <c r="G6" i="1"/>
  <c r="E6" i="1"/>
  <c r="E5" i="1"/>
  <c r="E4" i="1"/>
  <c r="E3" i="1"/>
  <c r="E2" i="1"/>
  <c r="G11" i="1"/>
  <c r="D2" i="1"/>
  <c r="F6" i="1" s="1"/>
  <c r="C2" i="1"/>
  <c r="H3" i="3" l="1"/>
  <c r="L3" i="3" s="1"/>
  <c r="H2" i="3"/>
  <c r="L2" i="3" s="1"/>
  <c r="H6" i="3"/>
  <c r="L6" i="3" s="1"/>
  <c r="G3" i="3"/>
  <c r="K3" i="3" s="1"/>
  <c r="K6" i="3"/>
  <c r="G4" i="3"/>
  <c r="I3" i="3"/>
  <c r="H4" i="3"/>
  <c r="L4" i="3" s="1"/>
  <c r="G5" i="3"/>
  <c r="E4" i="2"/>
  <c r="G4" i="2" s="1"/>
  <c r="G8" i="2" s="1"/>
  <c r="G11" i="2" s="1"/>
  <c r="F5" i="2"/>
  <c r="G5" i="2" s="1"/>
  <c r="F5" i="1"/>
  <c r="G5" i="1" s="1"/>
  <c r="F4" i="1"/>
  <c r="F3" i="1"/>
  <c r="F2" i="1"/>
  <c r="L8" i="3" l="1"/>
  <c r="L9" i="3" s="1"/>
  <c r="K11" i="3" s="1"/>
  <c r="I6" i="3"/>
  <c r="K2" i="3"/>
  <c r="I2" i="3"/>
  <c r="I4" i="3"/>
  <c r="K4" i="3"/>
  <c r="K5" i="3"/>
  <c r="I5" i="3"/>
  <c r="G3" i="1"/>
  <c r="G4" i="1"/>
  <c r="G2" i="1"/>
  <c r="G8" i="1" s="1"/>
  <c r="I8" i="3" l="1"/>
  <c r="I11" i="3" s="1"/>
  <c r="K8" i="3"/>
  <c r="K9" i="3" s="1"/>
  <c r="K10" i="3" s="1"/>
  <c r="K12" i="3" l="1"/>
</calcChain>
</file>

<file path=xl/sharedStrings.xml><?xml version="1.0" encoding="utf-8"?>
<sst xmlns="http://schemas.openxmlformats.org/spreadsheetml/2006/main" count="51" uniqueCount="20">
  <si>
    <t>Study Hours (x)</t>
  </si>
  <si>
    <t>Exam Score (y)</t>
  </si>
  <si>
    <t>x̄</t>
  </si>
  <si>
    <t>ȳ</t>
  </si>
  <si>
    <t>x-x̄</t>
  </si>
  <si>
    <t>y-ȳ</t>
  </si>
  <si>
    <t>(x-x̄)(y-ȳ)</t>
  </si>
  <si>
    <t>Sum</t>
  </si>
  <si>
    <t>n</t>
  </si>
  <si>
    <t>n-1</t>
  </si>
  <si>
    <t>COV</t>
  </si>
  <si>
    <t xml:space="preserve"> </t>
  </si>
  <si>
    <t>(x-x̄)^2</t>
  </si>
  <si>
    <t>(y-ȳ)^2</t>
  </si>
  <si>
    <t>Sum/n-1</t>
  </si>
  <si>
    <t>STD(X)</t>
  </si>
  <si>
    <t>STD(Y)</t>
  </si>
  <si>
    <t>CORR</t>
  </si>
  <si>
    <t>Rx</t>
  </si>
  <si>
    <t>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</si>
</sst>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4" borderId="1" xfId="0" applyFont="1" applyFill="1" applyBorder="1"/>
    <xf numFmtId="0" fontId="2" fillId="6" borderId="1" xfId="0" applyFont="1" applyFill="1" applyBorder="1"/>
    <xf numFmtId="0" fontId="3" fillId="6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/>
    <xf numFmtId="0" fontId="4" fillId="4" borderId="1" xfId="0" applyFont="1" applyFill="1" applyBorder="1"/>
    <xf numFmtId="0" fontId="3" fillId="0" borderId="8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7" borderId="1" xfId="0" applyFont="1" applyFill="1" applyBorder="1"/>
    <xf numFmtId="0" fontId="0" fillId="7" borderId="1" xfId="0" applyFill="1" applyBorder="1"/>
    <xf numFmtId="0" fontId="0" fillId="6" borderId="1" xfId="0" applyFill="1" applyBorder="1"/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381000</xdr:colOff>
      <xdr:row>1</xdr:row>
      <xdr:rowOff>66261</xdr:rowOff>
    </xdr:from>
    <xdr:to>
      <xdr:col>15</xdr:col>
      <xdr:colOff>488673</xdr:colOff>
      <xdr:row>9</xdr:row>
      <xdr:rowOff>185366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5065" y="306457"/>
          <a:ext cx="5010978" cy="2040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403418</xdr:colOff>
      <xdr:row>0</xdr:row>
      <xdr:rowOff>144517</xdr:rowOff>
    </xdr:from>
    <xdr:to>
      <xdr:col>15</xdr:col>
      <xdr:colOff>197068</xdr:colOff>
      <xdr:row>20</xdr:row>
      <xdr:rowOff>181709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7263" y="144517"/>
          <a:ext cx="2848219" cy="43989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403418</xdr:colOff>
      <xdr:row>0</xdr:row>
      <xdr:rowOff>144517</xdr:rowOff>
    </xdr:from>
    <xdr:to>
      <xdr:col>17</xdr:col>
      <xdr:colOff>197068</xdr:colOff>
      <xdr:row>23</xdr:row>
      <xdr:rowOff>181709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2518" y="144517"/>
          <a:ext cx="2841650" cy="44186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zoomScale="115" zoomScaleNormal="115" workbookViewId="0">
      <selection activeCell="M15" sqref="M15"/>
    </sheetView>
  </sheetViews>
  <sheetFormatPr defaultRowHeight="15" x14ac:dyDescent="0.25"/>
  <cols>
    <col min="1" max="1" width="20.5703125" bestFit="1" customWidth="1"/>
    <col min="2" max="2" width="21.140625" customWidth="1"/>
    <col min="3" max="4" width="10.140625" customWidth="1"/>
    <col min="5" max="5" width="10.28515625" customWidth="1"/>
    <col min="6" max="6" width="9.42578125" customWidth="1"/>
    <col min="7" max="7" width="18.42578125" customWidth="1"/>
  </cols>
  <sheetData>
    <row r="1" spans="1:11" ht="18.75" x14ac:dyDescent="0.3">
      <c r="A1" s="11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11" ht="18.75" x14ac:dyDescent="0.3">
      <c r="A2" s="4">
        <v>2</v>
      </c>
      <c r="B2" s="4">
        <v>65</v>
      </c>
      <c r="C2" s="13">
        <f>AVERAGE(A2:A6)</f>
        <v>6</v>
      </c>
      <c r="D2" s="13">
        <f>AVERAGE(B2:B6)</f>
        <v>75</v>
      </c>
      <c r="E2" s="4">
        <f>A2-$C$2</f>
        <v>-4</v>
      </c>
      <c r="F2" s="4">
        <f>B2-$D$2</f>
        <v>-10</v>
      </c>
      <c r="G2" s="4">
        <f>E2*F2</f>
        <v>40</v>
      </c>
    </row>
    <row r="3" spans="1:11" ht="18.75" x14ac:dyDescent="0.3">
      <c r="A3" s="4">
        <v>10</v>
      </c>
      <c r="B3" s="4">
        <v>85</v>
      </c>
      <c r="C3" s="14"/>
      <c r="D3" s="14"/>
      <c r="E3" s="4">
        <f>A3-$C$2</f>
        <v>4</v>
      </c>
      <c r="F3" s="4">
        <f>B3-$D$2</f>
        <v>10</v>
      </c>
      <c r="G3" s="4">
        <f>E3*F3</f>
        <v>40</v>
      </c>
    </row>
    <row r="4" spans="1:11" ht="18.75" x14ac:dyDescent="0.3">
      <c r="A4" s="4">
        <v>6</v>
      </c>
      <c r="B4" s="4">
        <v>75</v>
      </c>
      <c r="C4" s="14"/>
      <c r="D4" s="14"/>
      <c r="E4" s="4">
        <f>A4-$C$2</f>
        <v>0</v>
      </c>
      <c r="F4" s="4">
        <f>B4-$D$2</f>
        <v>0</v>
      </c>
      <c r="G4" s="4">
        <f>E4*F4</f>
        <v>0</v>
      </c>
    </row>
    <row r="5" spans="1:11" ht="18.75" x14ac:dyDescent="0.3">
      <c r="A5" s="4">
        <v>8</v>
      </c>
      <c r="B5" s="4">
        <v>80</v>
      </c>
      <c r="C5" s="14"/>
      <c r="D5" s="14"/>
      <c r="E5" s="4">
        <f>A5-$C$2</f>
        <v>2</v>
      </c>
      <c r="F5" s="4">
        <f>B5-$D$2</f>
        <v>5</v>
      </c>
      <c r="G5" s="4">
        <f>E5*F5</f>
        <v>10</v>
      </c>
    </row>
    <row r="6" spans="1:11" ht="18.75" x14ac:dyDescent="0.3">
      <c r="A6" s="4">
        <v>4</v>
      </c>
      <c r="B6" s="4">
        <v>70</v>
      </c>
      <c r="C6" s="15"/>
      <c r="D6" s="15"/>
      <c r="E6" s="4">
        <f>A6-$C$2</f>
        <v>-2</v>
      </c>
      <c r="F6" s="4">
        <f>B6-$D$2</f>
        <v>-5</v>
      </c>
      <c r="G6" s="4">
        <f>E6*F6</f>
        <v>10</v>
      </c>
      <c r="I6" t="s">
        <v>11</v>
      </c>
      <c r="K6" s="16"/>
    </row>
    <row r="7" spans="1:11" ht="18.75" x14ac:dyDescent="0.3">
      <c r="A7" s="5"/>
      <c r="B7" s="6"/>
      <c r="C7" s="6"/>
      <c r="D7" s="6"/>
      <c r="E7" s="6"/>
      <c r="F7" s="6"/>
      <c r="G7" s="7"/>
    </row>
    <row r="8" spans="1:11" ht="18.75" x14ac:dyDescent="0.3">
      <c r="F8" s="9" t="s">
        <v>7</v>
      </c>
      <c r="G8" s="10">
        <f>SUM(G2:G6)</f>
        <v>100</v>
      </c>
    </row>
    <row r="9" spans="1:11" ht="18.75" x14ac:dyDescent="0.3">
      <c r="F9" s="2" t="s">
        <v>8</v>
      </c>
      <c r="G9" s="3">
        <v>5</v>
      </c>
    </row>
    <row r="10" spans="1:11" ht="18.75" x14ac:dyDescent="0.3">
      <c r="F10" s="9" t="s">
        <v>9</v>
      </c>
      <c r="G10" s="10">
        <f>G9-1</f>
        <v>4</v>
      </c>
      <c r="J10" t="s">
        <v>11</v>
      </c>
    </row>
    <row r="11" spans="1:11" ht="18.75" x14ac:dyDescent="0.3">
      <c r="F11" s="8" t="s">
        <v>10</v>
      </c>
      <c r="G11" s="17">
        <f>G8/G10</f>
        <v>25</v>
      </c>
    </row>
  </sheetData>
  <mergeCells count="3">
    <mergeCell ref="C2:C6"/>
    <mergeCell ref="D2:D6"/>
    <mergeCell ref="A7:G7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zoomScale="145" zoomScaleNormal="145" workbookViewId="0">
      <selection activeCell="B10" sqref="A1:XFD1048576"/>
    </sheetView>
  </sheetViews>
  <sheetFormatPr defaultRowHeight="15" x14ac:dyDescent="0.25"/>
  <cols>
    <col min="1" max="1" width="18.85546875" bestFit="1" customWidth="1"/>
    <col min="2" max="2" width="18" bestFit="1" customWidth="1"/>
    <col min="7" max="7" width="11.5703125" bestFit="1" customWidth="1"/>
    <col min="8" max="10" width="11.85546875" customWidth="1"/>
  </cols>
  <sheetData>
    <row r="1" spans="1:10" ht="18.75" x14ac:dyDescent="0.3">
      <c r="A1" s="11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I1" s="12" t="s">
        <v>12</v>
      </c>
      <c r="J1" s="12" t="s">
        <v>13</v>
      </c>
    </row>
    <row r="2" spans="1:10" ht="18.75" x14ac:dyDescent="0.3">
      <c r="A2" s="4">
        <v>2</v>
      </c>
      <c r="B2" s="4">
        <v>65</v>
      </c>
      <c r="C2" s="13">
        <f>AVERAGE(A2:A6)</f>
        <v>6</v>
      </c>
      <c r="D2" s="13">
        <f>AVERAGE(B2:B6)</f>
        <v>75</v>
      </c>
      <c r="E2" s="4">
        <f>A2-$C$2</f>
        <v>-4</v>
      </c>
      <c r="F2" s="4">
        <f>B2-$D$2</f>
        <v>-10</v>
      </c>
      <c r="G2" s="4">
        <f>E2*F2</f>
        <v>40</v>
      </c>
      <c r="I2" s="4">
        <f>E2*E2</f>
        <v>16</v>
      </c>
      <c r="J2" s="1">
        <f>F2*F2</f>
        <v>100</v>
      </c>
    </row>
    <row r="3" spans="1:10" ht="18.75" x14ac:dyDescent="0.3">
      <c r="A3" s="4">
        <v>10</v>
      </c>
      <c r="B3" s="4">
        <v>85</v>
      </c>
      <c r="C3" s="14"/>
      <c r="D3" s="14"/>
      <c r="E3" s="4">
        <f>A3-$C$2</f>
        <v>4</v>
      </c>
      <c r="F3" s="4">
        <f>B3-$D$2</f>
        <v>10</v>
      </c>
      <c r="G3" s="4">
        <f>E3*F3</f>
        <v>40</v>
      </c>
      <c r="I3" s="4">
        <f t="shared" ref="I3:I6" si="0">E3*E3</f>
        <v>16</v>
      </c>
      <c r="J3" s="1">
        <f t="shared" ref="J3:J6" si="1">F3*F3</f>
        <v>100</v>
      </c>
    </row>
    <row r="4" spans="1:10" ht="18.75" x14ac:dyDescent="0.3">
      <c r="A4" s="4">
        <v>6</v>
      </c>
      <c r="B4" s="4">
        <v>75</v>
      </c>
      <c r="C4" s="14"/>
      <c r="D4" s="14"/>
      <c r="E4" s="4">
        <f>A4-$C$2</f>
        <v>0</v>
      </c>
      <c r="F4" s="4">
        <f>B4-$D$2</f>
        <v>0</v>
      </c>
      <c r="G4" s="4">
        <f>E4*F4</f>
        <v>0</v>
      </c>
      <c r="I4" s="4">
        <f t="shared" si="0"/>
        <v>0</v>
      </c>
      <c r="J4" s="1">
        <f t="shared" si="1"/>
        <v>0</v>
      </c>
    </row>
    <row r="5" spans="1:10" ht="18.75" x14ac:dyDescent="0.3">
      <c r="A5" s="4">
        <v>8</v>
      </c>
      <c r="B5" s="4">
        <v>80</v>
      </c>
      <c r="C5" s="14"/>
      <c r="D5" s="14"/>
      <c r="E5" s="4">
        <f>A5-$C$2</f>
        <v>2</v>
      </c>
      <c r="F5" s="4">
        <f>B5-$D$2</f>
        <v>5</v>
      </c>
      <c r="G5" s="4">
        <f>E5*F5</f>
        <v>10</v>
      </c>
      <c r="I5" s="4">
        <f t="shared" si="0"/>
        <v>4</v>
      </c>
      <c r="J5" s="1">
        <f t="shared" si="1"/>
        <v>25</v>
      </c>
    </row>
    <row r="6" spans="1:10" ht="18.75" x14ac:dyDescent="0.3">
      <c r="A6" s="4">
        <v>4</v>
      </c>
      <c r="B6" s="4">
        <v>70</v>
      </c>
      <c r="C6" s="15"/>
      <c r="D6" s="15"/>
      <c r="E6" s="4">
        <f>A6-$C$2</f>
        <v>-2</v>
      </c>
      <c r="F6" s="4">
        <f>B6-$D$2</f>
        <v>-5</v>
      </c>
      <c r="G6" s="4">
        <f>E6*F6</f>
        <v>10</v>
      </c>
      <c r="I6" s="4">
        <f t="shared" si="0"/>
        <v>4</v>
      </c>
      <c r="J6" s="1">
        <f t="shared" si="1"/>
        <v>25</v>
      </c>
    </row>
    <row r="7" spans="1:10" ht="18.75" x14ac:dyDescent="0.3">
      <c r="A7" s="18"/>
      <c r="B7" s="19"/>
      <c r="C7" s="19"/>
      <c r="D7" s="19"/>
      <c r="E7" s="19"/>
      <c r="F7" s="19"/>
      <c r="G7" s="19"/>
      <c r="H7" s="19"/>
      <c r="I7" s="19"/>
      <c r="J7" s="19"/>
    </row>
    <row r="8" spans="1:10" ht="18.75" x14ac:dyDescent="0.3">
      <c r="F8" s="9" t="s">
        <v>7</v>
      </c>
      <c r="G8" s="10">
        <f>SUM(G2:G6)</f>
        <v>100</v>
      </c>
      <c r="H8" s="20" t="s">
        <v>7</v>
      </c>
      <c r="I8" s="21">
        <f>SUM(I2:I6)</f>
        <v>40</v>
      </c>
      <c r="J8" s="21">
        <f>SUM(J2:J6)</f>
        <v>250</v>
      </c>
    </row>
    <row r="9" spans="1:10" ht="18.75" x14ac:dyDescent="0.3">
      <c r="F9" s="2" t="s">
        <v>8</v>
      </c>
      <c r="G9" s="3">
        <v>5</v>
      </c>
      <c r="H9" s="20" t="s">
        <v>14</v>
      </c>
      <c r="I9" s="21">
        <f>I8/G10</f>
        <v>10</v>
      </c>
      <c r="J9" s="21">
        <f>J8/G10</f>
        <v>62.5</v>
      </c>
    </row>
    <row r="10" spans="1:10" ht="18.75" x14ac:dyDescent="0.3">
      <c r="F10" s="9" t="s">
        <v>9</v>
      </c>
      <c r="G10" s="10">
        <f>G9-1</f>
        <v>4</v>
      </c>
      <c r="H10" s="9" t="s">
        <v>15</v>
      </c>
      <c r="I10" s="22">
        <f>SQRT(I9)</f>
        <v>3.1622776601683795</v>
      </c>
    </row>
    <row r="11" spans="1:10" ht="18.75" x14ac:dyDescent="0.3">
      <c r="F11" s="8" t="s">
        <v>10</v>
      </c>
      <c r="G11" s="17">
        <f>G8/G10</f>
        <v>25</v>
      </c>
      <c r="H11" s="9" t="s">
        <v>16</v>
      </c>
      <c r="I11" s="22">
        <f>SQRT(J9)</f>
        <v>7.9056941504209481</v>
      </c>
    </row>
    <row r="12" spans="1:10" ht="18.75" x14ac:dyDescent="0.3">
      <c r="H12" s="17" t="s">
        <v>17</v>
      </c>
      <c r="I12" s="17">
        <f>G11/(I10*I11)</f>
        <v>1</v>
      </c>
    </row>
  </sheetData>
  <mergeCells count="3">
    <mergeCell ref="C2:C6"/>
    <mergeCell ref="D2:D6"/>
    <mergeCell ref="A7:J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zoomScale="115" zoomScaleNormal="115" workbookViewId="0">
      <selection activeCell="K19" sqref="K19"/>
    </sheetView>
  </sheetViews>
  <sheetFormatPr defaultRowHeight="15" x14ac:dyDescent="0.25"/>
  <cols>
    <col min="1" max="1" width="18.85546875" bestFit="1" customWidth="1"/>
    <col min="2" max="2" width="18" bestFit="1" customWidth="1"/>
    <col min="3" max="3" width="12.42578125" customWidth="1"/>
    <col min="4" max="4" width="12" customWidth="1"/>
    <col min="9" max="9" width="11.5703125" bestFit="1" customWidth="1"/>
    <col min="10" max="12" width="11.85546875" customWidth="1"/>
  </cols>
  <sheetData>
    <row r="1" spans="1:12" ht="18.75" x14ac:dyDescent="0.3">
      <c r="A1" s="11" t="s">
        <v>0</v>
      </c>
      <c r="B1" s="11" t="s">
        <v>1</v>
      </c>
      <c r="C1" s="23" t="s">
        <v>18</v>
      </c>
      <c r="D1" s="25" t="s">
        <v>19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6</v>
      </c>
      <c r="K1" s="12" t="s">
        <v>12</v>
      </c>
      <c r="L1" s="12" t="s">
        <v>13</v>
      </c>
    </row>
    <row r="2" spans="1:12" ht="18.75" x14ac:dyDescent="0.3">
      <c r="A2" s="4">
        <v>2</v>
      </c>
      <c r="B2" s="4">
        <v>65</v>
      </c>
      <c r="C2" s="24">
        <v>5</v>
      </c>
      <c r="D2" s="26">
        <v>5</v>
      </c>
      <c r="E2" s="13">
        <f>AVERAGE(A2:A6)</f>
        <v>6</v>
      </c>
      <c r="F2" s="13">
        <f>AVERAGE(B2:B6)</f>
        <v>75</v>
      </c>
      <c r="G2" s="4">
        <f>A2-$E$2</f>
        <v>-4</v>
      </c>
      <c r="H2" s="4">
        <f>B2-$F$2</f>
        <v>-10</v>
      </c>
      <c r="I2" s="4">
        <f>G2*H2</f>
        <v>40</v>
      </c>
      <c r="K2" s="4">
        <f>G2*G2</f>
        <v>16</v>
      </c>
      <c r="L2" s="1">
        <f>H2*H2</f>
        <v>100</v>
      </c>
    </row>
    <row r="3" spans="1:12" ht="18.75" x14ac:dyDescent="0.3">
      <c r="A3" s="4">
        <v>10</v>
      </c>
      <c r="B3" s="4">
        <v>85</v>
      </c>
      <c r="C3" s="24">
        <v>1</v>
      </c>
      <c r="D3" s="26">
        <v>1</v>
      </c>
      <c r="E3" s="14"/>
      <c r="F3" s="14"/>
      <c r="G3" s="4">
        <f>A3-$E$2</f>
        <v>4</v>
      </c>
      <c r="H3" s="4">
        <f>B3-$F$2</f>
        <v>10</v>
      </c>
      <c r="I3" s="4">
        <f>G3*H3</f>
        <v>40</v>
      </c>
      <c r="K3" s="4">
        <f t="shared" ref="K3:L6" si="0">G3*G3</f>
        <v>16</v>
      </c>
      <c r="L3" s="1">
        <f t="shared" si="0"/>
        <v>100</v>
      </c>
    </row>
    <row r="4" spans="1:12" ht="18.75" x14ac:dyDescent="0.3">
      <c r="A4" s="4">
        <v>6</v>
      </c>
      <c r="B4" s="4">
        <v>75</v>
      </c>
      <c r="C4" s="24">
        <v>3</v>
      </c>
      <c r="D4" s="26">
        <v>3</v>
      </c>
      <c r="E4" s="14"/>
      <c r="F4" s="14"/>
      <c r="G4" s="4">
        <f>A4-$E$2</f>
        <v>0</v>
      </c>
      <c r="H4" s="4">
        <f>B4-$F$2</f>
        <v>0</v>
      </c>
      <c r="I4" s="4">
        <f>G4*H4</f>
        <v>0</v>
      </c>
      <c r="K4" s="4">
        <f t="shared" si="0"/>
        <v>0</v>
      </c>
      <c r="L4" s="1">
        <f t="shared" si="0"/>
        <v>0</v>
      </c>
    </row>
    <row r="5" spans="1:12" ht="18.75" x14ac:dyDescent="0.3">
      <c r="A5" s="4">
        <v>8</v>
      </c>
      <c r="B5" s="4">
        <v>80</v>
      </c>
      <c r="C5" s="24">
        <v>2</v>
      </c>
      <c r="D5" s="26">
        <v>2</v>
      </c>
      <c r="E5" s="14"/>
      <c r="F5" s="14"/>
      <c r="G5" s="4">
        <f>A5-$E$2</f>
        <v>2</v>
      </c>
      <c r="H5" s="4">
        <f>B5-$F$2</f>
        <v>5</v>
      </c>
      <c r="I5" s="4">
        <f>G5*H5</f>
        <v>10</v>
      </c>
      <c r="K5" s="4">
        <f t="shared" si="0"/>
        <v>4</v>
      </c>
      <c r="L5" s="1">
        <f t="shared" si="0"/>
        <v>25</v>
      </c>
    </row>
    <row r="6" spans="1:12" ht="18.75" x14ac:dyDescent="0.3">
      <c r="A6" s="4">
        <v>4</v>
      </c>
      <c r="B6" s="4">
        <v>70</v>
      </c>
      <c r="C6" s="24">
        <v>4</v>
      </c>
      <c r="D6" s="26">
        <v>4</v>
      </c>
      <c r="E6" s="15"/>
      <c r="F6" s="15"/>
      <c r="G6" s="4">
        <f>A6-$E$2</f>
        <v>-2</v>
      </c>
      <c r="H6" s="4">
        <f>B6-$F$2</f>
        <v>-5</v>
      </c>
      <c r="I6" s="4">
        <f>G6*H6</f>
        <v>10</v>
      </c>
      <c r="K6" s="4">
        <f t="shared" si="0"/>
        <v>4</v>
      </c>
      <c r="L6" s="1">
        <f t="shared" si="0"/>
        <v>25</v>
      </c>
    </row>
    <row r="7" spans="1:12" ht="18.75" x14ac:dyDescent="0.3">
      <c r="A7" s="18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 ht="18.75" x14ac:dyDescent="0.3">
      <c r="H8" s="9" t="s">
        <v>7</v>
      </c>
      <c r="I8" s="10">
        <f>SUM(I2:I6)</f>
        <v>100</v>
      </c>
      <c r="J8" s="20" t="s">
        <v>7</v>
      </c>
      <c r="K8" s="21">
        <f>SUM(K2:K6)</f>
        <v>40</v>
      </c>
      <c r="L8" s="21">
        <f>SUM(L2:L6)</f>
        <v>250</v>
      </c>
    </row>
    <row r="9" spans="1:12" ht="18.75" x14ac:dyDescent="0.3">
      <c r="H9" s="2" t="s">
        <v>8</v>
      </c>
      <c r="I9" s="3">
        <v>5</v>
      </c>
      <c r="J9" s="20" t="s">
        <v>14</v>
      </c>
      <c r="K9" s="21">
        <f>K8/I10</f>
        <v>10</v>
      </c>
      <c r="L9" s="21">
        <f>L8/I10</f>
        <v>62.5</v>
      </c>
    </row>
    <row r="10" spans="1:12" ht="18.75" x14ac:dyDescent="0.3">
      <c r="H10" s="9" t="s">
        <v>9</v>
      </c>
      <c r="I10" s="10">
        <f>I9-1</f>
        <v>4</v>
      </c>
      <c r="J10" s="9" t="s">
        <v>15</v>
      </c>
      <c r="K10" s="22">
        <f>SQRT(K9)</f>
        <v>3.1622776601683795</v>
      </c>
    </row>
    <row r="11" spans="1:12" ht="18.75" x14ac:dyDescent="0.3">
      <c r="H11" s="8" t="s">
        <v>10</v>
      </c>
      <c r="I11" s="17">
        <f>I8/I10</f>
        <v>25</v>
      </c>
      <c r="J11" s="9" t="s">
        <v>16</v>
      </c>
      <c r="K11" s="22">
        <f>SQRT(L9)</f>
        <v>7.9056941504209481</v>
      </c>
    </row>
    <row r="12" spans="1:12" ht="18.75" x14ac:dyDescent="0.3">
      <c r="J12" s="17" t="s">
        <v>17</v>
      </c>
      <c r="K12" s="17">
        <f>I11/(K10*K11)</f>
        <v>1</v>
      </c>
    </row>
  </sheetData>
  <mergeCells count="3">
    <mergeCell ref="E2:E6"/>
    <mergeCell ref="F2:F6"/>
    <mergeCell ref="A7:L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Covariance</vt:lpstr>
      <vt:lpstr>Pearson Correlation</vt:lpstr>
      <vt:lpstr>Spearman's Rank 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2026-06-19T07:34:20Z</dcterms:created>
  <dcterms:modified xsi:type="dcterms:W3CDTF">2026-06-19T08:25:18Z</dcterms:modified>
</cp:coreProperties>
</file>